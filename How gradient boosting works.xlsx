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almali MBAE\Master Thesis\Used equipment\Thesis working files\Final Draft\PROF REVIEW COPY\Shamlai Prakash Limbkar MBAE Thesis\1-AI source code\"/>
    </mc:Choice>
  </mc:AlternateContent>
  <xr:revisionPtr revIDLastSave="0" documentId="8_{9A532F74-5758-4E79-828B-0F27506B5761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Calc behind gradient boosting" sheetId="2" r:id="rId1"/>
    <sheet name="actual mathematical formula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1" i="2" l="1"/>
  <c r="J33" i="2"/>
  <c r="I33" i="2"/>
  <c r="G22" i="2"/>
  <c r="G68" i="2"/>
  <c r="G69" i="2"/>
  <c r="G70" i="2"/>
  <c r="G71" i="2"/>
  <c r="G67" i="2"/>
  <c r="I34" i="2"/>
  <c r="I35" i="2"/>
  <c r="I36" i="2"/>
  <c r="I37" i="2"/>
  <c r="I58" i="2"/>
  <c r="J58" i="2" s="1"/>
  <c r="I56" i="2"/>
  <c r="J56" i="2" s="1"/>
  <c r="F60" i="2"/>
  <c r="G60" i="2" s="1"/>
  <c r="F59" i="2"/>
  <c r="G59" i="2" s="1"/>
  <c r="F58" i="2"/>
  <c r="G58" i="2" s="1"/>
  <c r="F57" i="2"/>
  <c r="G57" i="2" s="1"/>
  <c r="F56" i="2"/>
  <c r="G56" i="2" s="1"/>
  <c r="F37" i="2"/>
  <c r="G37" i="2" s="1"/>
  <c r="F36" i="2"/>
  <c r="G36" i="2" s="1"/>
  <c r="F35" i="2"/>
  <c r="G35" i="2" s="1"/>
  <c r="F34" i="2"/>
  <c r="G34" i="2" s="1"/>
  <c r="F33" i="2"/>
  <c r="G33" i="2" s="1"/>
  <c r="F26" i="2"/>
  <c r="J37" i="2" s="1"/>
  <c r="F25" i="2"/>
  <c r="J36" i="2" s="1"/>
  <c r="F24" i="2"/>
  <c r="J35" i="2" s="1"/>
  <c r="F23" i="2"/>
  <c r="G23" i="2" s="1"/>
  <c r="F22" i="2"/>
  <c r="F12" i="2"/>
  <c r="F13" i="2"/>
  <c r="F14" i="2"/>
  <c r="F15" i="2"/>
  <c r="J34" i="2" l="1"/>
  <c r="G25" i="2"/>
  <c r="I69" i="2"/>
  <c r="G24" i="2"/>
  <c r="I59" i="2"/>
  <c r="G26" i="2"/>
  <c r="I57" i="2"/>
  <c r="I60" i="2"/>
  <c r="I67" i="2"/>
  <c r="J59" i="2" l="1"/>
  <c r="I70" i="2"/>
  <c r="I71" i="2"/>
  <c r="J60" i="2"/>
  <c r="J57" i="2"/>
  <c r="I68" i="2"/>
</calcChain>
</file>

<file path=xl/sharedStrings.xml><?xml version="1.0" encoding="utf-8"?>
<sst xmlns="http://schemas.openxmlformats.org/spreadsheetml/2006/main" count="147" uniqueCount="90">
  <si>
    <t>HP</t>
  </si>
  <si>
    <t>Tractor</t>
  </si>
  <si>
    <t>Age</t>
  </si>
  <si>
    <t>Hours</t>
  </si>
  <si>
    <t>Actual Price</t>
  </si>
  <si>
    <t>A</t>
  </si>
  <si>
    <t>B</t>
  </si>
  <si>
    <t>C</t>
  </si>
  <si>
    <t>D</t>
  </si>
  <si>
    <t>Model 1</t>
  </si>
  <si>
    <t>E</t>
  </si>
  <si>
    <t>Sequence of different model to reduce error. Last model will be best .</t>
  </si>
  <si>
    <t>we will use 3 models as the dataset is very low. In reality it is 100 to 150 models can be there.Depends on your configuration</t>
  </si>
  <si>
    <t>At the first model , Model simply takes the mean to predict the value for regression cases. Ours is regression case and not Classification</t>
  </si>
  <si>
    <t>Pred 1</t>
  </si>
  <si>
    <t>Now to test the performance of first model, we need a loss function. Which will tell us how much was the loss.</t>
  </si>
  <si>
    <t xml:space="preserve">Actual - Predicted . We call it pseudo residual. </t>
  </si>
  <si>
    <t>res 1</t>
  </si>
  <si>
    <t>Pred = Predicted value</t>
  </si>
  <si>
    <t>Now we have to send these mistakes done by model 1 to next model so that model 2 can learn from earliers model's mistakes</t>
  </si>
  <si>
    <t>We will train the Model 2 with Inputs : HP, Age, Hours BUT Target will not be PRICE , here we will train with res 1 to predict how many mistakes (in quantity is done by model 1)</t>
  </si>
  <si>
    <t>F0​(x)=mean(y)</t>
  </si>
  <si>
    <t>residuals =</t>
  </si>
  <si>
    <t>ri​=yi​−F0​(xi​)</t>
  </si>
  <si>
    <t>Interpretation</t>
  </si>
  <si>
    <t>hugely underpredicted</t>
  </si>
  <si>
    <t>hugely overpredicted</t>
  </si>
  <si>
    <t>moderate errors</t>
  </si>
  <si>
    <t xml:space="preserve">As you can see in the image , that the Tree generated in only for HP. </t>
  </si>
  <si>
    <t>Reason: We gave in the code: DecisionTreeRegressor(max_depth=1) , ONLY ONE SPLIT, So the tree must choose: HP  OR  Age  OR  Hours  (only one!)</t>
  </si>
  <si>
    <t xml:space="preserve">How the tree decides which feature to pick: It tries all possible splits and picks the one that minimizes: MSE after split
</t>
  </si>
  <si>
    <t>Let’s look at  data:</t>
  </si>
  <si>
    <t>Price</t>
  </si>
  <si>
    <t>95k</t>
  </si>
  <si>
    <t>18k</t>
  </si>
  <si>
    <t>42k</t>
  </si>
  <si>
    <t>28k</t>
  </si>
  <si>
    <t>40k</t>
  </si>
  <si>
    <t>Split on HP:</t>
  </si>
  <si>
    <t>HP &lt;= 130 → B, D → low prices
HP &gt; 130 → A, C, E → high prices</t>
  </si>
  <si>
    <t>Compare with Age</t>
  </si>
  <si>
    <t>Age is messy:
low age → sometimes high price (A)
low age → sometimes low price (D)
Not clean separation</t>
  </si>
  <si>
    <t>Compare with Hours</t>
  </si>
  <si>
    <t>Same problem:
low hours → high price (A)
low hours → medium price (D)
Mixed signal</t>
  </si>
  <si>
    <t>Tree tries to minimize:
∑(yi​−yˉ​leaf​)2
HP gives maximum error reduction</t>
  </si>
  <si>
    <t>Why not use all features?</t>
  </si>
  <si>
    <t xml:space="preserve">Because this is NOT linear regression
Tree does NOT do:
y=w1​⋅HP+w2​⋅Age+w3​⋅Hours
Instead it does:
IF condition → value
</t>
  </si>
  <si>
    <r>
      <rPr>
        <b/>
        <sz val="11"/>
        <color theme="4"/>
        <rFont val="Calibri"/>
        <family val="2"/>
        <scheme val="minor"/>
      </rPr>
      <t>In later trees:</t>
    </r>
    <r>
      <rPr>
        <sz val="11"/>
        <color theme="1"/>
        <rFont val="Calibri"/>
        <family val="2"/>
        <scheme val="minor"/>
      </rPr>
      <t xml:space="preserve">
Tree 2 sees residuals, not original target.
Now HP might not be best anymore.
Then it may choose:
Hours
Age</t>
    </r>
  </si>
  <si>
    <t>Model 2</t>
  </si>
  <si>
    <t>Model 3</t>
  </si>
  <si>
    <t>Leaf value taken from tree</t>
  </si>
  <si>
    <t>pred 2 : mean+lr×leaf value</t>
  </si>
  <si>
    <t>lr=0.1 (learning rate to avoid overfitting)</t>
  </si>
  <si>
    <t xml:space="preserve">We again first need to decide how was the performance of model 2 . For that we again calculate the residue </t>
  </si>
  <si>
    <t>res 2 = actual - pred</t>
  </si>
  <si>
    <t>Interpretation.</t>
  </si>
  <si>
    <t>Res1 &gt; res 2</t>
  </si>
  <si>
    <t>so Model is reducing the error</t>
  </si>
  <si>
    <t>Ideal residual value is 0 , that means model is performing the exact same value as the actual</t>
  </si>
  <si>
    <t>Helper column to take leaf values from tree</t>
  </si>
  <si>
    <t xml:space="preserve">helper column to select leaf value </t>
  </si>
  <si>
    <t>leafpred 3</t>
  </si>
  <si>
    <t>Pred 3 = 
m1 + (0.1 * m2) + (0.1*m3)</t>
  </si>
  <si>
    <t>Model 0</t>
  </si>
  <si>
    <t>It prefers features that: Reduce prediction error the most during gradient optimization.</t>
  </si>
  <si>
    <t>Engineered columns often:</t>
  </si>
  <si>
    <t>Make patterns easier to learn</t>
  </si>
  <si>
    <t>Reduce residual variance faster</t>
  </si>
  <si>
    <t>Capture domain structure</t>
  </si>
  <si>
    <r>
      <t xml:space="preserve">Gradient boosting builds trees </t>
    </r>
    <r>
      <rPr>
        <b/>
        <sz val="11"/>
        <color theme="1"/>
        <rFont val="Calibri"/>
        <family val="2"/>
        <scheme val="minor"/>
      </rPr>
      <t>sequentially</t>
    </r>
    <r>
      <rPr>
        <sz val="11"/>
        <color theme="1"/>
        <rFont val="Calibri"/>
        <family val="2"/>
        <scheme val="minor"/>
      </rPr>
      <t xml:space="preserve"> to correct previous errors</t>
    </r>
  </si>
  <si>
    <t>At each step, it:</t>
  </si>
  <si>
    <t>1. Computes residuals (errors)</t>
  </si>
  <si>
    <t>2. Fits a new tree to predict those residuals</t>
  </si>
  <si>
    <t>3. Adds that tree to the model</t>
  </si>
  <si>
    <t>So the model is constantly asking:</t>
  </si>
  <si>
    <t>“Which feature helps reduce the remaining error the most?”</t>
  </si>
  <si>
    <t>If a feature-engineered column helps reduce residuals strongly, it becomes very important.</t>
  </si>
  <si>
    <t xml:space="preserve">we can similarly generate Final prediction </t>
  </si>
  <si>
    <t>Final Predication</t>
  </si>
  <si>
    <t>We expect:</t>
  </si>
  <si>
    <t>Prediction≈Actual</t>
  </si>
  <si>
    <t>If error is large → model needs improvement.</t>
  </si>
  <si>
    <t>With only 3 shallow trees (max_depth=1)</t>
  </si>
  <si>
    <t>And small learning rate (0.1), It cannot fully capture the pattern yet.</t>
  </si>
  <si>
    <t>Error is large still. Need more models .
Actual-final pred</t>
  </si>
  <si>
    <t>What is boosting technique:</t>
  </si>
  <si>
    <t>Dataset</t>
  </si>
  <si>
    <t xml:space="preserve">Step 0 of Gradient Boosting: </t>
  </si>
  <si>
    <t>res = Residual value, residual is the error</t>
  </si>
  <si>
    <t>continued table from model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</si>
</sst>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2]\ #,##0;[Red]\-[$€-2]\ #,##0"/>
    <numFmt numFmtId="165" formatCode="[$€-2]\ #,##0.00;[Red]\-[$€-2]\ #,##0.00"/>
    <numFmt numFmtId="166" formatCode="[$€-2]\ #,##0.00;[Red][$€-2]\ \-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164" fontId="0" fillId="0" borderId="0" xfId="0" applyNumberFormat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3" fontId="0" fillId="0" borderId="0" xfId="0" applyNumberFormat="1" applyBorder="1"/>
    <xf numFmtId="164" fontId="0" fillId="0" borderId="0" xfId="0" applyNumberFormat="1" applyBorder="1"/>
    <xf numFmtId="164" fontId="0" fillId="0" borderId="6" xfId="0" applyNumberFormat="1" applyBorder="1"/>
    <xf numFmtId="3" fontId="0" fillId="0" borderId="8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0" xfId="0" applyFill="1" applyBorder="1"/>
    <xf numFmtId="0" fontId="0" fillId="3" borderId="0" xfId="0" applyFill="1"/>
    <xf numFmtId="0" fontId="0" fillId="3" borderId="0" xfId="0" applyFill="1" applyBorder="1"/>
    <xf numFmtId="164" fontId="0" fillId="0" borderId="5" xfId="0" applyNumberFormat="1" applyBorder="1"/>
    <xf numFmtId="164" fontId="0" fillId="0" borderId="7" xfId="0" applyNumberFormat="1" applyBorder="1"/>
    <xf numFmtId="0" fontId="0" fillId="0" borderId="13" xfId="0" applyFill="1" applyBorder="1" applyAlignment="1">
      <alignment wrapText="1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0" borderId="13" xfId="0" applyBorder="1"/>
    <xf numFmtId="0" fontId="0" fillId="2" borderId="10" xfId="0" applyFill="1" applyBorder="1"/>
    <xf numFmtId="0" fontId="0" fillId="2" borderId="12" xfId="0" applyFill="1" applyBorder="1"/>
    <xf numFmtId="0" fontId="0" fillId="4" borderId="0" xfId="0" applyFill="1"/>
    <xf numFmtId="0" fontId="1" fillId="4" borderId="1" xfId="0" applyFont="1" applyFill="1" applyBorder="1"/>
    <xf numFmtId="165" fontId="0" fillId="4" borderId="13" xfId="0" applyNumberFormat="1" applyFill="1" applyBorder="1"/>
    <xf numFmtId="165" fontId="0" fillId="4" borderId="14" xfId="0" applyNumberFormat="1" applyFill="1" applyBorder="1"/>
    <xf numFmtId="165" fontId="0" fillId="4" borderId="15" xfId="0" applyNumberFormat="1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0" xfId="0" applyFill="1" applyBorder="1"/>
    <xf numFmtId="3" fontId="0" fillId="5" borderId="0" xfId="0" applyNumberFormat="1" applyFill="1" applyBorder="1"/>
    <xf numFmtId="164" fontId="0" fillId="5" borderId="6" xfId="0" applyNumberFormat="1" applyFill="1" applyBorder="1"/>
    <xf numFmtId="0" fontId="0" fillId="5" borderId="8" xfId="0" applyFill="1" applyBorder="1"/>
    <xf numFmtId="3" fontId="0" fillId="5" borderId="8" xfId="0" applyNumberFormat="1" applyFill="1" applyBorder="1"/>
    <xf numFmtId="164" fontId="0" fillId="5" borderId="9" xfId="0" applyNumberFormat="1" applyFill="1" applyBorder="1"/>
    <xf numFmtId="164" fontId="0" fillId="5" borderId="0" xfId="0" applyNumberFormat="1" applyFill="1"/>
    <xf numFmtId="0" fontId="0" fillId="5" borderId="10" xfId="0" applyFill="1" applyBorder="1"/>
    <xf numFmtId="0" fontId="0" fillId="5" borderId="5" xfId="0" applyFill="1" applyBorder="1"/>
    <xf numFmtId="0" fontId="0" fillId="5" borderId="7" xfId="0" applyFill="1" applyBorder="1"/>
    <xf numFmtId="0" fontId="0" fillId="0" borderId="16" xfId="0" applyBorder="1"/>
    <xf numFmtId="0" fontId="0" fillId="0" borderId="17" xfId="0" applyBorder="1"/>
    <xf numFmtId="0" fontId="0" fillId="0" borderId="10" xfId="0" applyBorder="1" applyAlignment="1">
      <alignment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166" fontId="0" fillId="0" borderId="6" xfId="0" applyNumberFormat="1" applyBorder="1"/>
    <xf numFmtId="166" fontId="0" fillId="0" borderId="9" xfId="0" applyNumberFormat="1" applyBorder="1"/>
    <xf numFmtId="0" fontId="0" fillId="0" borderId="6" xfId="0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508514</xdr:colOff>
      <xdr:row>24</xdr:row>
      <xdr:rowOff>23792</xdr:rowOff>
    </xdr:from>
    <xdr:to>
      <xdr:col>14</xdr:col>
      <xdr:colOff>326111</xdr:colOff>
      <xdr:row>37</xdr:row>
      <xdr:rowOff>115908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55C02B-2D3C-470F-90C6-E7E9DFAB8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33248" y="4460754"/>
          <a:ext cx="3695116" cy="267712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510720</xdr:colOff>
      <xdr:row>43</xdr:row>
      <xdr:rowOff>60997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23449-EAA1-47E8-B254-94C0FF67E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6160" y="7368540"/>
          <a:ext cx="2080440" cy="426757"/>
        </a:xfrm>
        <a:prstGeom prst="rect">
          <a:avLst/>
        </a:prstGeom>
      </xdr:spPr>
    </xdr:pic>
    <xdr:clientData/>
  </xdr:twoCellAnchor>
  <xdr:twoCellAnchor editAs="oneCell">
    <xdr:from>
      <xdr:col>7</xdr:col>
      <xdr:colOff>1249681</xdr:colOff>
      <xdr:row>46</xdr:row>
      <xdr:rowOff>1607820</xdr:rowOff>
    </xdr:from>
    <xdr:to>
      <xdr:col>9</xdr:col>
      <xdr:colOff>556261</xdr:colOff>
      <xdr:row>49</xdr:row>
      <xdr:rowOff>178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9EF3F6-A4FB-4943-AA51-A400EA000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25841" y="10081260"/>
          <a:ext cx="2590800" cy="20575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4</xdr:col>
      <xdr:colOff>1379220</xdr:colOff>
      <xdr:row>79</xdr:row>
      <xdr:rowOff>45098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34D17EA-11A2-4476-9D60-EDFF51EDD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904720"/>
          <a:ext cx="4831080" cy="3171203"/>
        </a:xfrm>
        <a:prstGeom prst="rect">
          <a:avLst/>
        </a:prstGeom>
      </xdr:spPr>
    </xdr:pic>
    <xdr:clientData/>
  </xdr:twoCellAnchor>
  <xdr:twoCellAnchor editAs="oneCell">
    <xdr:from>
      <xdr:col>5</xdr:col>
      <xdr:colOff>769620</xdr:colOff>
      <xdr:row>82</xdr:row>
      <xdr:rowOff>17162</xdr:rowOff>
    </xdr:from>
    <xdr:to>
      <xdr:col>7</xdr:col>
      <xdr:colOff>1501140</xdr:colOff>
      <xdr:row>94</xdr:row>
      <xdr:rowOff>53643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29C3338-E691-474B-BC98-5ACDB05D8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65520" y="18594722"/>
          <a:ext cx="3002280" cy="22615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457582</xdr:colOff>
      <xdr:row>10</xdr:row>
      <xdr:rowOff>160192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691CC2-31A0-4F54-B39F-6A4F11C25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04742" cy="19889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7</xdr:col>
      <xdr:colOff>305240</xdr:colOff>
      <xdr:row>27</xdr:row>
      <xdr:rowOff>122168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A13F0E-F228-4C68-8E67-ACAAF851D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4560"/>
          <a:ext cx="5075360" cy="2865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5"/>
  <sheetViews>
    <sheetView tabSelected="1" zoomScale="90" zoomScaleNormal="90" workbookViewId="0">
      <selection activeCell="G5" sqref="G5"/>
    </sheetView>
  </sheetViews>
  <sheetFormatPr defaultColWidth="11.77734375" defaultRowHeight="14.4" x14ac:dyDescent="0.3"/>
  <cols>
    <col min="4" max="4" width="15" bestFit="1" customWidth="1"/>
    <col min="5" max="5" width="29.44140625" customWidth="1"/>
    <col min="7" max="7" width="21.33203125" customWidth="1"/>
    <col min="8" max="8" width="22.88671875" bestFit="1" customWidth="1"/>
    <col min="9" max="9" width="25" customWidth="1"/>
    <col min="10" max="10" width="29.21875" customWidth="1"/>
    <col min="11" max="11" width="19.21875" customWidth="1"/>
    <col min="12" max="12" width="13.77734375" customWidth="1"/>
  </cols>
  <sheetData>
    <row r="1" spans="1:11" x14ac:dyDescent="0.3">
      <c r="A1" s="51" t="s">
        <v>1</v>
      </c>
      <c r="B1" s="42" t="s">
        <v>0</v>
      </c>
      <c r="C1" s="42" t="s">
        <v>2</v>
      </c>
      <c r="D1" s="42" t="s">
        <v>3</v>
      </c>
      <c r="E1" s="43" t="s">
        <v>4</v>
      </c>
      <c r="J1" s="37" t="s">
        <v>85</v>
      </c>
      <c r="K1" t="s">
        <v>11</v>
      </c>
    </row>
    <row r="2" spans="1:11" x14ac:dyDescent="0.3">
      <c r="A2" s="52" t="s">
        <v>5</v>
      </c>
      <c r="B2" s="44">
        <v>180</v>
      </c>
      <c r="C2" s="44">
        <v>3</v>
      </c>
      <c r="D2" s="45">
        <v>1500</v>
      </c>
      <c r="E2" s="46">
        <v>95000</v>
      </c>
      <c r="G2" s="50" t="s">
        <v>86</v>
      </c>
      <c r="K2" t="s">
        <v>12</v>
      </c>
    </row>
    <row r="3" spans="1:11" x14ac:dyDescent="0.3">
      <c r="A3" s="52" t="s">
        <v>6</v>
      </c>
      <c r="B3" s="44">
        <v>80</v>
      </c>
      <c r="C3" s="44">
        <v>10</v>
      </c>
      <c r="D3" s="45">
        <v>8000</v>
      </c>
      <c r="E3" s="46">
        <v>18000</v>
      </c>
      <c r="G3" s="1"/>
    </row>
    <row r="4" spans="1:11" x14ac:dyDescent="0.3">
      <c r="A4" s="52" t="s">
        <v>7</v>
      </c>
      <c r="B4" s="44">
        <v>180</v>
      </c>
      <c r="C4" s="44">
        <v>12</v>
      </c>
      <c r="D4" s="45">
        <v>9000</v>
      </c>
      <c r="E4" s="46">
        <v>42000</v>
      </c>
      <c r="G4" s="1"/>
    </row>
    <row r="5" spans="1:11" x14ac:dyDescent="0.3">
      <c r="A5" s="52" t="s">
        <v>8</v>
      </c>
      <c r="B5" s="44">
        <v>80</v>
      </c>
      <c r="C5" s="44">
        <v>2</v>
      </c>
      <c r="D5" s="44">
        <v>500</v>
      </c>
      <c r="E5" s="46">
        <v>28000</v>
      </c>
      <c r="G5" s="1"/>
    </row>
    <row r="6" spans="1:11" ht="15" thickBot="1" x14ac:dyDescent="0.35">
      <c r="A6" s="53" t="s">
        <v>10</v>
      </c>
      <c r="B6" s="47">
        <v>180</v>
      </c>
      <c r="C6" s="47">
        <v>10</v>
      </c>
      <c r="D6" s="48">
        <v>5000</v>
      </c>
      <c r="E6" s="49">
        <v>40000</v>
      </c>
    </row>
    <row r="7" spans="1:11" ht="15" thickBot="1" x14ac:dyDescent="0.35"/>
    <row r="8" spans="1:11" ht="15" thickBot="1" x14ac:dyDescent="0.35">
      <c r="A8" s="27" t="s">
        <v>63</v>
      </c>
      <c r="B8" t="s">
        <v>13</v>
      </c>
      <c r="I8" s="54" t="s">
        <v>87</v>
      </c>
      <c r="J8" s="55" t="s">
        <v>21</v>
      </c>
    </row>
    <row r="9" spans="1:11" s="2" customFormat="1" ht="15" thickBot="1" x14ac:dyDescent="0.35"/>
    <row r="10" spans="1:11" x14ac:dyDescent="0.3">
      <c r="A10" s="17" t="s">
        <v>1</v>
      </c>
      <c r="B10" s="18" t="s">
        <v>0</v>
      </c>
      <c r="C10" s="18" t="s">
        <v>2</v>
      </c>
      <c r="D10" s="18" t="s">
        <v>3</v>
      </c>
      <c r="E10" s="18" t="s">
        <v>4</v>
      </c>
      <c r="F10" s="19" t="s">
        <v>14</v>
      </c>
    </row>
    <row r="11" spans="1:11" x14ac:dyDescent="0.3">
      <c r="A11" s="11" t="s">
        <v>5</v>
      </c>
      <c r="B11" s="12">
        <v>180</v>
      </c>
      <c r="C11" s="12">
        <v>3</v>
      </c>
      <c r="D11" s="20">
        <v>1500</v>
      </c>
      <c r="E11" s="21">
        <v>95000</v>
      </c>
      <c r="F11" s="22">
        <f>AVERAGE($E$11:$E$15)</f>
        <v>44600</v>
      </c>
    </row>
    <row r="12" spans="1:11" x14ac:dyDescent="0.3">
      <c r="A12" s="11" t="s">
        <v>6</v>
      </c>
      <c r="B12" s="12">
        <v>80</v>
      </c>
      <c r="C12" s="12">
        <v>10</v>
      </c>
      <c r="D12" s="20">
        <v>8000</v>
      </c>
      <c r="E12" s="21">
        <v>18000</v>
      </c>
      <c r="F12" s="22">
        <f t="shared" ref="F12:F15" si="0">AVERAGE($E$11:$E$15)</f>
        <v>44600</v>
      </c>
    </row>
    <row r="13" spans="1:11" x14ac:dyDescent="0.3">
      <c r="A13" s="11" t="s">
        <v>7</v>
      </c>
      <c r="B13" s="12">
        <v>180</v>
      </c>
      <c r="C13" s="12">
        <v>12</v>
      </c>
      <c r="D13" s="20">
        <v>9000</v>
      </c>
      <c r="E13" s="21">
        <v>42000</v>
      </c>
      <c r="F13" s="22">
        <f t="shared" si="0"/>
        <v>44600</v>
      </c>
    </row>
    <row r="14" spans="1:11" x14ac:dyDescent="0.3">
      <c r="A14" s="11" t="s">
        <v>8</v>
      </c>
      <c r="B14" s="12">
        <v>80</v>
      </c>
      <c r="C14" s="12">
        <v>2</v>
      </c>
      <c r="D14" s="12">
        <v>500</v>
      </c>
      <c r="E14" s="21">
        <v>28000</v>
      </c>
      <c r="F14" s="22">
        <f t="shared" si="0"/>
        <v>44600</v>
      </c>
    </row>
    <row r="15" spans="1:11" ht="15" thickBot="1" x14ac:dyDescent="0.35">
      <c r="A15" s="14" t="s">
        <v>10</v>
      </c>
      <c r="B15" s="15">
        <v>180</v>
      </c>
      <c r="C15" s="15">
        <v>10</v>
      </c>
      <c r="D15" s="23">
        <v>5000</v>
      </c>
      <c r="E15" s="24">
        <v>40000</v>
      </c>
      <c r="F15" s="25">
        <f t="shared" si="0"/>
        <v>44600</v>
      </c>
    </row>
    <row r="17" spans="1:10" x14ac:dyDescent="0.3">
      <c r="A17" t="s">
        <v>15</v>
      </c>
    </row>
    <row r="18" spans="1:10" x14ac:dyDescent="0.3">
      <c r="A18" t="s">
        <v>16</v>
      </c>
    </row>
    <row r="19" spans="1:10" x14ac:dyDescent="0.3">
      <c r="A19" t="s">
        <v>22</v>
      </c>
      <c r="B19" t="s">
        <v>23</v>
      </c>
    </row>
    <row r="20" spans="1:10" ht="15" thickBot="1" x14ac:dyDescent="0.35"/>
    <row r="21" spans="1:10" x14ac:dyDescent="0.3">
      <c r="A21" s="17" t="s">
        <v>1</v>
      </c>
      <c r="B21" s="18" t="s">
        <v>0</v>
      </c>
      <c r="C21" s="18" t="s">
        <v>2</v>
      </c>
      <c r="D21" s="18" t="s">
        <v>3</v>
      </c>
      <c r="E21" s="18" t="s">
        <v>4</v>
      </c>
      <c r="F21" s="18" t="s">
        <v>14</v>
      </c>
      <c r="G21" s="18" t="s">
        <v>17</v>
      </c>
      <c r="H21" s="19" t="s">
        <v>24</v>
      </c>
      <c r="I21" t="s">
        <v>18</v>
      </c>
    </row>
    <row r="22" spans="1:10" x14ac:dyDescent="0.3">
      <c r="A22" s="11" t="s">
        <v>5</v>
      </c>
      <c r="B22" s="12">
        <v>180</v>
      </c>
      <c r="C22" s="12">
        <v>3</v>
      </c>
      <c r="D22" s="20">
        <v>1500</v>
      </c>
      <c r="E22" s="21">
        <v>95000</v>
      </c>
      <c r="F22" s="21">
        <f>AVERAGE($E$11:$E$15)</f>
        <v>44600</v>
      </c>
      <c r="G22" s="21">
        <f>E22-F22</f>
        <v>50400</v>
      </c>
      <c r="H22" s="13" t="s">
        <v>25</v>
      </c>
      <c r="I22" t="s">
        <v>88</v>
      </c>
    </row>
    <row r="23" spans="1:10" x14ac:dyDescent="0.3">
      <c r="A23" s="11" t="s">
        <v>6</v>
      </c>
      <c r="B23" s="12">
        <v>80</v>
      </c>
      <c r="C23" s="12">
        <v>10</v>
      </c>
      <c r="D23" s="20">
        <v>8000</v>
      </c>
      <c r="E23" s="21">
        <v>18000</v>
      </c>
      <c r="F23" s="21">
        <f t="shared" ref="F23:F26" si="1">AVERAGE($E$11:$E$15)</f>
        <v>44600</v>
      </c>
      <c r="G23" s="21">
        <f t="shared" ref="G23:G26" si="2">E23-F23</f>
        <v>-26600</v>
      </c>
      <c r="H23" s="13" t="s">
        <v>26</v>
      </c>
      <c r="I23" s="12"/>
    </row>
    <row r="24" spans="1:10" x14ac:dyDescent="0.3">
      <c r="A24" s="11" t="s">
        <v>7</v>
      </c>
      <c r="B24" s="12">
        <v>180</v>
      </c>
      <c r="C24" s="12">
        <v>12</v>
      </c>
      <c r="D24" s="20">
        <v>9000</v>
      </c>
      <c r="E24" s="21">
        <v>42000</v>
      </c>
      <c r="F24" s="21">
        <f t="shared" si="1"/>
        <v>44600</v>
      </c>
      <c r="G24" s="21">
        <f t="shared" si="2"/>
        <v>-2600</v>
      </c>
      <c r="H24" s="13" t="s">
        <v>27</v>
      </c>
      <c r="I24" s="12"/>
    </row>
    <row r="25" spans="1:10" x14ac:dyDescent="0.3">
      <c r="A25" s="11" t="s">
        <v>8</v>
      </c>
      <c r="B25" s="12">
        <v>80</v>
      </c>
      <c r="C25" s="12">
        <v>2</v>
      </c>
      <c r="D25" s="12">
        <v>500</v>
      </c>
      <c r="E25" s="21">
        <v>28000</v>
      </c>
      <c r="F25" s="21">
        <f t="shared" si="1"/>
        <v>44600</v>
      </c>
      <c r="G25" s="21">
        <f t="shared" si="2"/>
        <v>-16600</v>
      </c>
      <c r="H25" s="13" t="s">
        <v>27</v>
      </c>
      <c r="I25" s="12"/>
    </row>
    <row r="26" spans="1:10" ht="15" thickBot="1" x14ac:dyDescent="0.35">
      <c r="A26" s="14" t="s">
        <v>10</v>
      </c>
      <c r="B26" s="15">
        <v>180</v>
      </c>
      <c r="C26" s="15">
        <v>10</v>
      </c>
      <c r="D26" s="23">
        <v>5000</v>
      </c>
      <c r="E26" s="24">
        <v>40000</v>
      </c>
      <c r="F26" s="24">
        <f t="shared" si="1"/>
        <v>44600</v>
      </c>
      <c r="G26" s="24">
        <f t="shared" si="2"/>
        <v>-4600</v>
      </c>
      <c r="H26" s="16" t="s">
        <v>27</v>
      </c>
      <c r="I26" s="12"/>
    </row>
    <row r="27" spans="1:10" x14ac:dyDescent="0.3">
      <c r="A27" s="12"/>
      <c r="B27" s="12"/>
      <c r="C27" s="12"/>
      <c r="D27" s="20"/>
      <c r="E27" s="21"/>
      <c r="F27" s="21"/>
      <c r="G27" s="21"/>
      <c r="H27" s="12"/>
      <c r="I27" s="12"/>
    </row>
    <row r="28" spans="1:10" x14ac:dyDescent="0.3">
      <c r="A28" s="28" t="s">
        <v>9</v>
      </c>
    </row>
    <row r="29" spans="1:10" x14ac:dyDescent="0.3">
      <c r="A29" t="s">
        <v>19</v>
      </c>
    </row>
    <row r="30" spans="1:10" x14ac:dyDescent="0.3">
      <c r="A30" t="s">
        <v>20</v>
      </c>
    </row>
    <row r="31" spans="1:10" ht="15" thickBot="1" x14ac:dyDescent="0.35">
      <c r="J31" t="s">
        <v>52</v>
      </c>
    </row>
    <row r="32" spans="1:10" ht="28.8" x14ac:dyDescent="0.3">
      <c r="A32" s="17" t="s">
        <v>1</v>
      </c>
      <c r="B32" s="18" t="s">
        <v>0</v>
      </c>
      <c r="C32" s="18" t="s">
        <v>2</v>
      </c>
      <c r="D32" s="18" t="s">
        <v>3</v>
      </c>
      <c r="E32" s="18" t="s">
        <v>4</v>
      </c>
      <c r="F32" s="18" t="s">
        <v>14</v>
      </c>
      <c r="G32" s="18" t="s">
        <v>17</v>
      </c>
      <c r="H32" s="18" t="s">
        <v>50</v>
      </c>
      <c r="I32" s="31" t="s">
        <v>59</v>
      </c>
      <c r="J32" s="19" t="s">
        <v>51</v>
      </c>
    </row>
    <row r="33" spans="1:11" x14ac:dyDescent="0.3">
      <c r="A33" s="11" t="s">
        <v>5</v>
      </c>
      <c r="B33" s="12">
        <v>180</v>
      </c>
      <c r="C33" s="12">
        <v>3</v>
      </c>
      <c r="D33" s="20">
        <v>1500</v>
      </c>
      <c r="E33" s="21">
        <v>95000</v>
      </c>
      <c r="F33" s="21">
        <f>AVERAGE($E$11:$E$15)</f>
        <v>44600</v>
      </c>
      <c r="G33" s="21">
        <f>E33-F33</f>
        <v>50400</v>
      </c>
      <c r="H33" s="21">
        <v>14400</v>
      </c>
      <c r="I33" s="32" t="str">
        <f>IF(B33&lt;=130,"Left","Right")</f>
        <v>Right</v>
      </c>
      <c r="J33" s="22">
        <f>F22+ (0.1 * H33)</f>
        <v>46040</v>
      </c>
    </row>
    <row r="34" spans="1:11" x14ac:dyDescent="0.3">
      <c r="A34" s="11" t="s">
        <v>6</v>
      </c>
      <c r="B34" s="12">
        <v>80</v>
      </c>
      <c r="C34" s="12">
        <v>10</v>
      </c>
      <c r="D34" s="20">
        <v>8000</v>
      </c>
      <c r="E34" s="21">
        <v>18000</v>
      </c>
      <c r="F34" s="21">
        <f t="shared" ref="F34:F37" si="3">AVERAGE($E$11:$E$15)</f>
        <v>44600</v>
      </c>
      <c r="G34" s="21">
        <f t="shared" ref="G34:G37" si="4">E34-F34</f>
        <v>-26600</v>
      </c>
      <c r="H34" s="21">
        <v>-21600</v>
      </c>
      <c r="I34" s="32" t="str">
        <f t="shared" ref="I34:I37" si="5">IF(B34&lt;=130,"Left","Right")</f>
        <v>Left</v>
      </c>
      <c r="J34" s="22">
        <f t="shared" ref="J34:J37" si="6">F23+ (0.1 * H34)</f>
        <v>42440</v>
      </c>
    </row>
    <row r="35" spans="1:11" x14ac:dyDescent="0.3">
      <c r="A35" s="11" t="s">
        <v>7</v>
      </c>
      <c r="B35" s="12">
        <v>180</v>
      </c>
      <c r="C35" s="12">
        <v>12</v>
      </c>
      <c r="D35" s="20">
        <v>9000</v>
      </c>
      <c r="E35" s="21">
        <v>42000</v>
      </c>
      <c r="F35" s="21">
        <f t="shared" si="3"/>
        <v>44600</v>
      </c>
      <c r="G35" s="21">
        <f t="shared" si="4"/>
        <v>-2600</v>
      </c>
      <c r="H35" s="21">
        <v>14400</v>
      </c>
      <c r="I35" s="32" t="str">
        <f t="shared" si="5"/>
        <v>Right</v>
      </c>
      <c r="J35" s="22">
        <f t="shared" si="6"/>
        <v>46040</v>
      </c>
    </row>
    <row r="36" spans="1:11" x14ac:dyDescent="0.3">
      <c r="A36" s="11" t="s">
        <v>8</v>
      </c>
      <c r="B36" s="12">
        <v>80</v>
      </c>
      <c r="C36" s="12">
        <v>2</v>
      </c>
      <c r="D36" s="12">
        <v>500</v>
      </c>
      <c r="E36" s="21">
        <v>28000</v>
      </c>
      <c r="F36" s="21">
        <f t="shared" si="3"/>
        <v>44600</v>
      </c>
      <c r="G36" s="21">
        <f t="shared" si="4"/>
        <v>-16600</v>
      </c>
      <c r="H36" s="21">
        <v>-21600</v>
      </c>
      <c r="I36" s="32" t="str">
        <f t="shared" si="5"/>
        <v>Left</v>
      </c>
      <c r="J36" s="22">
        <f t="shared" si="6"/>
        <v>42440</v>
      </c>
    </row>
    <row r="37" spans="1:11" ht="15" thickBot="1" x14ac:dyDescent="0.35">
      <c r="A37" s="14" t="s">
        <v>10</v>
      </c>
      <c r="B37" s="15">
        <v>180</v>
      </c>
      <c r="C37" s="15">
        <v>10</v>
      </c>
      <c r="D37" s="23">
        <v>5000</v>
      </c>
      <c r="E37" s="24">
        <v>40000</v>
      </c>
      <c r="F37" s="24">
        <f t="shared" si="3"/>
        <v>44600</v>
      </c>
      <c r="G37" s="24">
        <f t="shared" si="4"/>
        <v>-4600</v>
      </c>
      <c r="H37" s="24">
        <v>14400</v>
      </c>
      <c r="I37" s="33" t="str">
        <f t="shared" si="5"/>
        <v>Right</v>
      </c>
      <c r="J37" s="25">
        <f t="shared" si="6"/>
        <v>46040</v>
      </c>
    </row>
    <row r="40" spans="1:11" x14ac:dyDescent="0.3">
      <c r="A40" t="s">
        <v>28</v>
      </c>
    </row>
    <row r="41" spans="1:11" x14ac:dyDescent="0.3">
      <c r="A41" t="s">
        <v>29</v>
      </c>
    </row>
    <row r="42" spans="1:11" x14ac:dyDescent="0.3">
      <c r="A42" s="4" t="s">
        <v>30</v>
      </c>
    </row>
    <row r="43" spans="1:11" x14ac:dyDescent="0.3">
      <c r="A43" s="4"/>
    </row>
    <row r="45" spans="1:11" ht="15" thickBot="1" x14ac:dyDescent="0.35">
      <c r="A45" t="s">
        <v>31</v>
      </c>
    </row>
    <row r="46" spans="1:11" x14ac:dyDescent="0.3">
      <c r="A46" s="8" t="s">
        <v>1</v>
      </c>
      <c r="B46" s="9" t="s">
        <v>0</v>
      </c>
      <c r="C46" s="10" t="s">
        <v>32</v>
      </c>
      <c r="E46" t="s">
        <v>38</v>
      </c>
      <c r="G46" t="s">
        <v>40</v>
      </c>
      <c r="H46" t="s">
        <v>42</v>
      </c>
      <c r="K46" t="s">
        <v>45</v>
      </c>
    </row>
    <row r="47" spans="1:11" ht="130.19999999999999" customHeight="1" x14ac:dyDescent="0.3">
      <c r="A47" s="11" t="s">
        <v>5</v>
      </c>
      <c r="B47" s="12">
        <v>180</v>
      </c>
      <c r="C47" s="13" t="s">
        <v>33</v>
      </c>
      <c r="E47" s="5" t="s">
        <v>39</v>
      </c>
      <c r="G47" s="5" t="s">
        <v>41</v>
      </c>
      <c r="H47" s="5" t="s">
        <v>43</v>
      </c>
      <c r="I47" s="5"/>
      <c r="J47" s="5" t="s">
        <v>44</v>
      </c>
      <c r="K47" s="7" t="s">
        <v>46</v>
      </c>
    </row>
    <row r="48" spans="1:11" x14ac:dyDescent="0.3">
      <c r="A48" s="11" t="s">
        <v>6</v>
      </c>
      <c r="B48" s="12">
        <v>80</v>
      </c>
      <c r="C48" s="13" t="s">
        <v>34</v>
      </c>
    </row>
    <row r="49" spans="1:11" ht="144" x14ac:dyDescent="0.3">
      <c r="A49" s="11" t="s">
        <v>7</v>
      </c>
      <c r="B49" s="12">
        <v>180</v>
      </c>
      <c r="C49" s="13" t="s">
        <v>35</v>
      </c>
      <c r="G49" s="3" t="s">
        <v>47</v>
      </c>
    </row>
    <row r="50" spans="1:11" x14ac:dyDescent="0.3">
      <c r="A50" s="11" t="s">
        <v>8</v>
      </c>
      <c r="B50" s="12">
        <v>80</v>
      </c>
      <c r="C50" s="13" t="s">
        <v>36</v>
      </c>
    </row>
    <row r="51" spans="1:11" ht="15" thickBot="1" x14ac:dyDescent="0.35">
      <c r="A51" s="14" t="s">
        <v>10</v>
      </c>
      <c r="B51" s="15">
        <v>180</v>
      </c>
      <c r="C51" s="16" t="s">
        <v>37</v>
      </c>
    </row>
    <row r="53" spans="1:11" x14ac:dyDescent="0.3">
      <c r="A53" s="27" t="s">
        <v>48</v>
      </c>
    </row>
    <row r="54" spans="1:11" ht="15" thickBot="1" x14ac:dyDescent="0.35">
      <c r="A54" t="s">
        <v>53</v>
      </c>
    </row>
    <row r="55" spans="1:11" x14ac:dyDescent="0.3">
      <c r="A55" s="17" t="s">
        <v>1</v>
      </c>
      <c r="B55" s="18" t="s">
        <v>0</v>
      </c>
      <c r="C55" s="18" t="s">
        <v>2</v>
      </c>
      <c r="D55" s="18" t="s">
        <v>3</v>
      </c>
      <c r="E55" s="18" t="s">
        <v>4</v>
      </c>
      <c r="F55" s="18" t="s">
        <v>14</v>
      </c>
      <c r="G55" s="18" t="s">
        <v>17</v>
      </c>
      <c r="H55" s="34" t="s">
        <v>50</v>
      </c>
      <c r="I55" s="18" t="s">
        <v>51</v>
      </c>
      <c r="J55" s="18" t="s">
        <v>54</v>
      </c>
      <c r="K55" s="19" t="s">
        <v>55</v>
      </c>
    </row>
    <row r="56" spans="1:11" x14ac:dyDescent="0.3">
      <c r="A56" s="11" t="s">
        <v>5</v>
      </c>
      <c r="B56" s="12">
        <v>180</v>
      </c>
      <c r="C56" s="12">
        <v>3</v>
      </c>
      <c r="D56" s="20">
        <v>1500</v>
      </c>
      <c r="E56" s="21">
        <v>95000</v>
      </c>
      <c r="F56" s="21">
        <f>AVERAGE($E$11:$E$15)</f>
        <v>44600</v>
      </c>
      <c r="G56" s="21">
        <f>E56-F56</f>
        <v>50400</v>
      </c>
      <c r="H56" s="29">
        <v>14400</v>
      </c>
      <c r="I56" s="21">
        <f>F56 + (0.1 * H56)</f>
        <v>46040</v>
      </c>
      <c r="J56" s="21">
        <f>E56-I56</f>
        <v>48960</v>
      </c>
      <c r="K56" s="13" t="s">
        <v>56</v>
      </c>
    </row>
    <row r="57" spans="1:11" ht="14.4" customHeight="1" x14ac:dyDescent="0.3">
      <c r="A57" s="11" t="s">
        <v>6</v>
      </c>
      <c r="B57" s="12">
        <v>80</v>
      </c>
      <c r="C57" s="12">
        <v>10</v>
      </c>
      <c r="D57" s="20">
        <v>8000</v>
      </c>
      <c r="E57" s="21">
        <v>18000</v>
      </c>
      <c r="F57" s="21">
        <f t="shared" ref="F57:F60" si="7">AVERAGE($E$11:$E$15)</f>
        <v>44600</v>
      </c>
      <c r="G57" s="21">
        <f t="shared" ref="G57:G60" si="8">E57-F57</f>
        <v>-26600</v>
      </c>
      <c r="H57" s="29">
        <v>-21600</v>
      </c>
      <c r="I57" s="21">
        <f>F57 + (0.1 * H57)</f>
        <v>42440</v>
      </c>
      <c r="J57" s="21">
        <f>E57-I57</f>
        <v>-24440</v>
      </c>
      <c r="K57" s="61" t="s">
        <v>57</v>
      </c>
    </row>
    <row r="58" spans="1:11" x14ac:dyDescent="0.3">
      <c r="A58" s="11" t="s">
        <v>7</v>
      </c>
      <c r="B58" s="12">
        <v>180</v>
      </c>
      <c r="C58" s="12">
        <v>12</v>
      </c>
      <c r="D58" s="20">
        <v>9000</v>
      </c>
      <c r="E58" s="21">
        <v>42000</v>
      </c>
      <c r="F58" s="21">
        <f t="shared" si="7"/>
        <v>44600</v>
      </c>
      <c r="G58" s="21">
        <f t="shared" si="8"/>
        <v>-2600</v>
      </c>
      <c r="H58" s="29">
        <v>14400</v>
      </c>
      <c r="I58" s="21">
        <f>F58 + (0.1 * H58)</f>
        <v>46040</v>
      </c>
      <c r="J58" s="21">
        <f>E58-I58</f>
        <v>-4040</v>
      </c>
      <c r="K58" s="61"/>
    </row>
    <row r="59" spans="1:11" x14ac:dyDescent="0.3">
      <c r="A59" s="11" t="s">
        <v>8</v>
      </c>
      <c r="B59" s="12">
        <v>80</v>
      </c>
      <c r="C59" s="12">
        <v>2</v>
      </c>
      <c r="D59" s="12">
        <v>500</v>
      </c>
      <c r="E59" s="21">
        <v>28000</v>
      </c>
      <c r="F59" s="21">
        <f t="shared" si="7"/>
        <v>44600</v>
      </c>
      <c r="G59" s="21">
        <f t="shared" si="8"/>
        <v>-16600</v>
      </c>
      <c r="H59" s="29">
        <v>-21600</v>
      </c>
      <c r="I59" s="21">
        <f>F59 + (0.1 * H59)</f>
        <v>42440</v>
      </c>
      <c r="J59" s="21">
        <f>E59-I59</f>
        <v>-14440</v>
      </c>
      <c r="K59" s="61"/>
    </row>
    <row r="60" spans="1:11" ht="15" thickBot="1" x14ac:dyDescent="0.35">
      <c r="A60" s="14" t="s">
        <v>10</v>
      </c>
      <c r="B60" s="15">
        <v>180</v>
      </c>
      <c r="C60" s="15">
        <v>10</v>
      </c>
      <c r="D60" s="23">
        <v>5000</v>
      </c>
      <c r="E60" s="24">
        <v>40000</v>
      </c>
      <c r="F60" s="24">
        <f t="shared" si="7"/>
        <v>44600</v>
      </c>
      <c r="G60" s="24">
        <f t="shared" si="8"/>
        <v>-4600</v>
      </c>
      <c r="H60" s="30">
        <v>14400</v>
      </c>
      <c r="I60" s="24">
        <f>F60 + (0.1 * H60)</f>
        <v>46040</v>
      </c>
      <c r="J60" s="24">
        <f>E60-I60</f>
        <v>-6040</v>
      </c>
      <c r="K60" s="16"/>
    </row>
    <row r="62" spans="1:11" x14ac:dyDescent="0.3">
      <c r="A62" t="s">
        <v>58</v>
      </c>
    </row>
    <row r="65" spans="7:9" ht="15" thickBot="1" x14ac:dyDescent="0.35">
      <c r="G65" t="s">
        <v>89</v>
      </c>
    </row>
    <row r="66" spans="7:9" ht="28.8" x14ac:dyDescent="0.3">
      <c r="G66" s="56" t="s">
        <v>60</v>
      </c>
      <c r="H66" s="57" t="s">
        <v>61</v>
      </c>
      <c r="I66" s="58" t="s">
        <v>62</v>
      </c>
    </row>
    <row r="67" spans="7:9" x14ac:dyDescent="0.3">
      <c r="G67" s="11" t="str">
        <f>IF(B56&lt;=130,"Left","Right")</f>
        <v>Right</v>
      </c>
      <c r="H67" s="21">
        <v>12960</v>
      </c>
      <c r="I67" s="59">
        <f>F56+(0.1*H56) + (0.1 * H67)</f>
        <v>47336</v>
      </c>
    </row>
    <row r="68" spans="7:9" x14ac:dyDescent="0.3">
      <c r="G68" s="11" t="str">
        <f t="shared" ref="G68:G71" si="9">IF(B57&lt;=130,"Left","Right")</f>
        <v>Left</v>
      </c>
      <c r="H68" s="21">
        <v>-19440</v>
      </c>
      <c r="I68" s="59">
        <f>I57+ (0.1 * H67)</f>
        <v>43736</v>
      </c>
    </row>
    <row r="69" spans="7:9" x14ac:dyDescent="0.3">
      <c r="G69" s="11" t="str">
        <f t="shared" si="9"/>
        <v>Right</v>
      </c>
      <c r="H69" s="21">
        <v>12960</v>
      </c>
      <c r="I69" s="59">
        <f t="shared" ref="I69:I71" si="10">I58+ (0.1 * H69)</f>
        <v>47336</v>
      </c>
    </row>
    <row r="70" spans="7:9" x14ac:dyDescent="0.3">
      <c r="G70" s="11" t="str">
        <f t="shared" si="9"/>
        <v>Left</v>
      </c>
      <c r="H70" s="21">
        <v>-19440</v>
      </c>
      <c r="I70" s="59">
        <f t="shared" si="10"/>
        <v>40496</v>
      </c>
    </row>
    <row r="71" spans="7:9" ht="15" thickBot="1" x14ac:dyDescent="0.35">
      <c r="G71" s="14" t="str">
        <f t="shared" si="9"/>
        <v>Right</v>
      </c>
      <c r="H71" s="24">
        <v>12960</v>
      </c>
      <c r="I71" s="60">
        <f t="shared" si="10"/>
        <v>47336</v>
      </c>
    </row>
    <row r="82" spans="1:5" ht="15" thickBot="1" x14ac:dyDescent="0.35">
      <c r="A82" s="27" t="s">
        <v>49</v>
      </c>
    </row>
    <row r="83" spans="1:5" ht="15" thickBot="1" x14ac:dyDescent="0.35">
      <c r="A83" t="s">
        <v>77</v>
      </c>
      <c r="D83" s="38" t="s">
        <v>78</v>
      </c>
      <c r="E83" s="34" t="s">
        <v>24</v>
      </c>
    </row>
    <row r="84" spans="1:5" x14ac:dyDescent="0.3">
      <c r="D84" s="39">
        <v>49094.400000000001</v>
      </c>
      <c r="E84" s="64" t="s">
        <v>84</v>
      </c>
    </row>
    <row r="85" spans="1:5" x14ac:dyDescent="0.3">
      <c r="D85" s="40">
        <v>39323.730000000003</v>
      </c>
      <c r="E85" s="64"/>
    </row>
    <row r="86" spans="1:5" x14ac:dyDescent="0.3">
      <c r="D86" s="40">
        <v>46163.73</v>
      </c>
      <c r="E86" s="64"/>
    </row>
    <row r="87" spans="1:5" x14ac:dyDescent="0.3">
      <c r="D87" s="40">
        <v>42254.400000000001</v>
      </c>
      <c r="E87" s="64"/>
    </row>
    <row r="88" spans="1:5" ht="15" thickBot="1" x14ac:dyDescent="0.35">
      <c r="D88" s="41">
        <v>46163.73</v>
      </c>
      <c r="E88" s="65"/>
    </row>
    <row r="89" spans="1:5" ht="15" thickBot="1" x14ac:dyDescent="0.35"/>
    <row r="90" spans="1:5" x14ac:dyDescent="0.3">
      <c r="C90" s="35" t="s">
        <v>79</v>
      </c>
      <c r="D90" s="36"/>
    </row>
    <row r="91" spans="1:5" ht="15" thickBot="1" x14ac:dyDescent="0.35">
      <c r="C91" s="62" t="s">
        <v>80</v>
      </c>
      <c r="D91" s="63"/>
    </row>
    <row r="93" spans="1:5" x14ac:dyDescent="0.3">
      <c r="C93" t="s">
        <v>81</v>
      </c>
    </row>
    <row r="95" spans="1:5" x14ac:dyDescent="0.3">
      <c r="C95" s="6" t="s">
        <v>82</v>
      </c>
    </row>
    <row r="96" spans="1:5" x14ac:dyDescent="0.3">
      <c r="C96" s="6" t="s">
        <v>83</v>
      </c>
    </row>
    <row r="98" spans="1:5" x14ac:dyDescent="0.3">
      <c r="A98" t="s">
        <v>69</v>
      </c>
    </row>
    <row r="99" spans="1:5" x14ac:dyDescent="0.3">
      <c r="A99" t="s">
        <v>70</v>
      </c>
    </row>
    <row r="100" spans="1:5" x14ac:dyDescent="0.3">
      <c r="A100" s="6"/>
    </row>
    <row r="101" spans="1:5" x14ac:dyDescent="0.3">
      <c r="A101" s="6" t="s">
        <v>71</v>
      </c>
    </row>
    <row r="102" spans="1:5" x14ac:dyDescent="0.3">
      <c r="A102" s="6" t="s">
        <v>72</v>
      </c>
    </row>
    <row r="103" spans="1:5" x14ac:dyDescent="0.3">
      <c r="A103" s="6" t="s">
        <v>73</v>
      </c>
    </row>
    <row r="104" spans="1:5" x14ac:dyDescent="0.3">
      <c r="A104" s="6"/>
    </row>
    <row r="105" spans="1:5" x14ac:dyDescent="0.3">
      <c r="A105" t="s">
        <v>74</v>
      </c>
    </row>
    <row r="106" spans="1:5" x14ac:dyDescent="0.3">
      <c r="A106" s="6" t="s">
        <v>75</v>
      </c>
    </row>
    <row r="107" spans="1:5" ht="15" thickBot="1" x14ac:dyDescent="0.35"/>
    <row r="108" spans="1:5" x14ac:dyDescent="0.3">
      <c r="A108" s="51" t="s">
        <v>76</v>
      </c>
      <c r="B108" s="42"/>
      <c r="C108" s="42"/>
      <c r="D108" s="42"/>
      <c r="E108" s="43"/>
    </row>
    <row r="109" spans="1:5" x14ac:dyDescent="0.3">
      <c r="A109" s="11"/>
      <c r="B109" s="12"/>
      <c r="C109" s="12"/>
      <c r="D109" s="12"/>
      <c r="E109" s="13"/>
    </row>
    <row r="110" spans="1:5" x14ac:dyDescent="0.3">
      <c r="A110" s="11" t="s">
        <v>64</v>
      </c>
      <c r="B110" s="12"/>
      <c r="C110" s="12"/>
      <c r="D110" s="12"/>
      <c r="E110" s="13"/>
    </row>
    <row r="111" spans="1:5" x14ac:dyDescent="0.3">
      <c r="A111" s="11"/>
      <c r="B111" s="12"/>
      <c r="C111" s="12"/>
      <c r="D111" s="12"/>
      <c r="E111" s="13"/>
    </row>
    <row r="112" spans="1:5" x14ac:dyDescent="0.3">
      <c r="A112" s="11" t="s">
        <v>65</v>
      </c>
      <c r="B112" s="12"/>
      <c r="C112" s="12"/>
      <c r="D112" s="12"/>
      <c r="E112" s="13"/>
    </row>
    <row r="113" spans="1:5" x14ac:dyDescent="0.3">
      <c r="A113" s="11" t="s">
        <v>66</v>
      </c>
      <c r="B113" s="12"/>
      <c r="C113" s="12"/>
      <c r="D113" s="12"/>
      <c r="E113" s="13"/>
    </row>
    <row r="114" spans="1:5" x14ac:dyDescent="0.3">
      <c r="A114" s="11" t="s">
        <v>67</v>
      </c>
      <c r="B114" s="12"/>
      <c r="C114" s="12"/>
      <c r="D114" s="12"/>
      <c r="E114" s="13"/>
    </row>
    <row r="115" spans="1:5" ht="15" thickBot="1" x14ac:dyDescent="0.35">
      <c r="A115" s="14" t="s">
        <v>68</v>
      </c>
      <c r="B115" s="15"/>
      <c r="C115" s="15"/>
      <c r="D115" s="15"/>
      <c r="E115" s="16"/>
    </row>
  </sheetData>
  <mergeCells count="3">
    <mergeCell ref="K57:K59"/>
    <mergeCell ref="C91:D91"/>
    <mergeCell ref="E84:E8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09B68-E158-4E34-95A2-2FDEDC8AB352}">
  <dimension ref="A1:E6"/>
  <sheetViews>
    <sheetView topLeftCell="A3" workbookViewId="0">
      <selection activeCell="I19" sqref="I19"/>
    </sheetView>
  </sheetViews>
  <sheetFormatPr defaultRowHeight="14.4" x14ac:dyDescent="0.3"/>
  <cols>
    <col min="5" max="5" width="12.77734375" bestFit="1" customWidth="1"/>
    <col min="6" max="6" width="9.21875" bestFit="1" customWidth="1"/>
    <col min="7" max="7" width="12" bestFit="1" customWidth="1"/>
    <col min="8" max="8" width="12.88671875" bestFit="1" customWidth="1"/>
    <col min="9" max="9" width="9.6640625" bestFit="1" customWidth="1"/>
    <col min="10" max="10" width="23.44140625" bestFit="1" customWidth="1"/>
  </cols>
  <sheetData>
    <row r="1" spans="1:5" x14ac:dyDescent="0.3">
      <c r="A1" s="17"/>
      <c r="B1" s="18"/>
      <c r="C1" s="18"/>
      <c r="D1" s="18"/>
      <c r="E1" s="26"/>
    </row>
    <row r="2" spans="1:5" x14ac:dyDescent="0.3">
      <c r="A2" s="11"/>
      <c r="B2" s="12"/>
      <c r="C2" s="12"/>
      <c r="D2" s="20"/>
    </row>
    <row r="3" spans="1:5" x14ac:dyDescent="0.3">
      <c r="A3" s="11"/>
      <c r="B3" s="12"/>
      <c r="C3" s="12"/>
      <c r="D3" s="20"/>
    </row>
    <row r="4" spans="1:5" x14ac:dyDescent="0.3">
      <c r="A4" s="11"/>
      <c r="B4" s="12"/>
      <c r="C4" s="12"/>
      <c r="D4" s="20"/>
    </row>
    <row r="5" spans="1:5" x14ac:dyDescent="0.3">
      <c r="A5" s="11"/>
      <c r="B5" s="12"/>
      <c r="C5" s="12"/>
      <c r="D5" s="12"/>
    </row>
    <row r="6" spans="1:5" x14ac:dyDescent="0.3">
      <c r="A6" s="12"/>
      <c r="B6" s="12"/>
      <c r="C6" s="12"/>
      <c r="D6" s="2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 behind gradient boosting</vt:lpstr>
      <vt:lpstr>actual mathematical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Shalmali Limbkar</dc:creator>
  <cp:lastModifiedBy>Shalmali Limbkar</cp:lastModifiedBy>
  <dcterms:created xsi:type="dcterms:W3CDTF">2026-03-16T12:01:44Z</dcterms:created>
  <dcterms:modified xsi:type="dcterms:W3CDTF">2026-03-30T10:59:40Z</dcterms:modified>
</cp:coreProperties>
</file>